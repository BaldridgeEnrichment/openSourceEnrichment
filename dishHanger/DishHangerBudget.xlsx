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Downloads/"/>
    </mc:Choice>
  </mc:AlternateContent>
  <xr:revisionPtr revIDLastSave="0" documentId="13_ncr:1_{820BAAFD-DE6C-0E4F-B693-B52D5CC9C065}" xr6:coauthVersionLast="47" xr6:coauthVersionMax="47" xr10:uidLastSave="{00000000-0000-0000-0000-000000000000}"/>
  <bookViews>
    <workbookView xWindow="0" yWindow="500" windowWidth="28800" windowHeight="16480" xr2:uid="{5963C852-DFD8-124F-8006-ABC91A3D99EA}"/>
  </bookViews>
  <sheets>
    <sheet name="Actu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9" i="1"/>
  <c r="I9" i="1"/>
  <c r="H8" i="1"/>
  <c r="I8" i="1"/>
  <c r="H3" i="1"/>
  <c r="I3" i="1" s="1"/>
  <c r="H4" i="1"/>
  <c r="I4" i="1" s="1"/>
  <c r="H5" i="1"/>
  <c r="I5" i="1" s="1"/>
  <c r="H6" i="1"/>
  <c r="I6" i="1" s="1"/>
  <c r="H7" i="1"/>
  <c r="I7" i="1"/>
  <c r="H2" i="1"/>
  <c r="I2" i="1" s="1"/>
  <c r="K2" i="1" l="1"/>
</calcChain>
</file>

<file path=xl/sharedStrings.xml><?xml version="1.0" encoding="utf-8"?>
<sst xmlns="http://schemas.openxmlformats.org/spreadsheetml/2006/main" count="31" uniqueCount="24">
  <si>
    <t>Class</t>
  </si>
  <si>
    <t>Designator</t>
  </si>
  <si>
    <t>Item</t>
  </si>
  <si>
    <t>Number Per Unit</t>
  </si>
  <si>
    <t>Priece Per Unit</t>
  </si>
  <si>
    <t>Supplier</t>
  </si>
  <si>
    <t>Units Needed</t>
  </si>
  <si>
    <t>Total Cost</t>
  </si>
  <si>
    <t>Discounts</t>
  </si>
  <si>
    <t>Final Cost</t>
  </si>
  <si>
    <t>Amazon</t>
  </si>
  <si>
    <t>Materials</t>
  </si>
  <si>
    <t>Number Used</t>
  </si>
  <si>
    <t>Filament</t>
  </si>
  <si>
    <t>Creality Ender PETG 2KG 3D Printer Filament 1.75mm, High Precision, Strong Toughness, Odorless, Better Flow, Moistureproof 3D Printing Ender PETG Filament, Black &amp; Black</t>
  </si>
  <si>
    <t>Washers</t>
  </si>
  <si>
    <t>1/4 ZC Fender Was</t>
  </si>
  <si>
    <t>Midtown Hardare</t>
  </si>
  <si>
    <t>Lock Nut</t>
  </si>
  <si>
    <t>Locknut Hex ZN Nyl 1/4-20</t>
  </si>
  <si>
    <t>3" 1/4 Hex Botl</t>
  </si>
  <si>
    <t>SCREWS</t>
  </si>
  <si>
    <t>Muzata 5 Pack 1/4" x 2" Eye Bolt T316 Stainless Steel Eye Bolts with Nuts Washers Threaded Heavy Duty Shoulder Lifting Ring Total 3" Length Marine Grade UNC-3A CR31</t>
  </si>
  <si>
    <t>Eyebolt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</si>
</sst>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0" xfId="1" applyFont="1" applyFill="1" applyBorder="1"/>
    <xf numFmtId="2" fontId="0" fillId="0" borderId="0" xfId="0" applyNumberFormat="1"/>
    <xf numFmtId="0" fontId="2" fillId="0" borderId="0" xfId="0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3A0B-B9E9-5C49-B31E-7C5B1A197573}">
  <dimension ref="A1:K17"/>
  <sheetViews>
    <sheetView tabSelected="1" workbookViewId="0">
      <selection activeCell="K16" sqref="K16"/>
    </sheetView>
  </sheetViews>
  <sheetFormatPr baseColWidth="10" defaultColWidth="10.83203125" defaultRowHeight="16" x14ac:dyDescent="0.2"/>
  <cols>
    <col min="1" max="2" width="18.83203125" customWidth="1"/>
    <col min="3" max="3" width="13.6640625" customWidth="1"/>
    <col min="4" max="4" width="13.6640625" style="1" customWidth="1"/>
    <col min="5" max="7" width="13.6640625" customWidth="1"/>
    <col min="8" max="8" width="12.6640625" style="1" customWidth="1"/>
    <col min="9" max="10" width="9.1640625" customWidth="1"/>
    <col min="11" max="11" width="10.83203125" style="1"/>
  </cols>
  <sheetData>
    <row r="1" spans="1:11" s="2" customFormat="1" x14ac:dyDescent="0.2">
      <c r="A1" s="2" t="s">
        <v>0</v>
      </c>
      <c r="B1" s="2" t="s">
        <v>1</v>
      </c>
      <c r="C1" s="2" t="s">
        <v>2</v>
      </c>
      <c r="D1" s="3" t="s">
        <v>12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3" t="s">
        <v>9</v>
      </c>
    </row>
    <row r="2" spans="1:11" x14ac:dyDescent="0.2">
      <c r="A2" t="s">
        <v>11</v>
      </c>
      <c r="B2" t="s">
        <v>13</v>
      </c>
      <c r="C2" t="s">
        <v>14</v>
      </c>
      <c r="D2" s="1">
        <v>4000</v>
      </c>
      <c r="E2">
        <v>2000</v>
      </c>
      <c r="F2">
        <v>22.99</v>
      </c>
      <c r="G2" t="s">
        <v>10</v>
      </c>
      <c r="H2" s="1">
        <f>IF(D2&gt;0, ROUNDUP(D2/E2,0), "")</f>
        <v>2</v>
      </c>
      <c r="I2">
        <f t="shared" ref="I2" si="0">IF(F2&gt;0, (F2*H2)*(100-J2)/100, "")</f>
        <v>45.98</v>
      </c>
      <c r="J2" s="4">
        <v>0</v>
      </c>
      <c r="K2" s="6">
        <f>SUM(I2:I26)</f>
        <v>81.169999999999987</v>
      </c>
    </row>
    <row r="3" spans="1:11" x14ac:dyDescent="0.2">
      <c r="A3" t="s">
        <v>11</v>
      </c>
      <c r="B3" t="s">
        <v>15</v>
      </c>
      <c r="C3" t="s">
        <v>16</v>
      </c>
      <c r="D3" s="1">
        <v>3</v>
      </c>
      <c r="E3">
        <v>100</v>
      </c>
      <c r="F3">
        <v>13.59</v>
      </c>
      <c r="G3" t="s">
        <v>17</v>
      </c>
      <c r="H3" s="1">
        <f t="shared" ref="H3:H7" si="1">IF(D3&gt;0, ROUNDUP(D3/E3,0), "")</f>
        <v>1</v>
      </c>
      <c r="I3">
        <f t="shared" ref="I3:I7" si="2">IF(F3&gt;0, (F3*H3)*(100-J3)/100, "")</f>
        <v>13.59</v>
      </c>
      <c r="J3" s="4">
        <v>0</v>
      </c>
      <c r="K3"/>
    </row>
    <row r="4" spans="1:11" x14ac:dyDescent="0.2">
      <c r="A4" t="s">
        <v>11</v>
      </c>
      <c r="B4" t="s">
        <v>18</v>
      </c>
      <c r="C4" t="s">
        <v>19</v>
      </c>
      <c r="D4" s="1">
        <v>3</v>
      </c>
      <c r="E4">
        <v>100</v>
      </c>
      <c r="F4">
        <v>11.59</v>
      </c>
      <c r="G4" t="s">
        <v>17</v>
      </c>
      <c r="H4" s="1">
        <f t="shared" si="1"/>
        <v>1</v>
      </c>
      <c r="I4">
        <f t="shared" si="2"/>
        <v>11.59</v>
      </c>
      <c r="J4" s="4">
        <v>0</v>
      </c>
      <c r="K4"/>
    </row>
    <row r="5" spans="1:11" x14ac:dyDescent="0.2">
      <c r="A5" t="s">
        <v>11</v>
      </c>
      <c r="B5" t="s">
        <v>20</v>
      </c>
      <c r="C5" t="s">
        <v>21</v>
      </c>
      <c r="D5" s="1">
        <v>2</v>
      </c>
      <c r="E5">
        <v>1</v>
      </c>
      <c r="F5">
        <v>0.51</v>
      </c>
      <c r="G5" t="s">
        <v>17</v>
      </c>
      <c r="H5" s="1">
        <f t="shared" si="1"/>
        <v>2</v>
      </c>
      <c r="I5">
        <f t="shared" si="2"/>
        <v>1.02</v>
      </c>
      <c r="J5" s="4">
        <v>0</v>
      </c>
      <c r="K5"/>
    </row>
    <row r="6" spans="1:11" x14ac:dyDescent="0.2">
      <c r="A6" t="s">
        <v>11</v>
      </c>
      <c r="B6" t="s">
        <v>23</v>
      </c>
      <c r="C6" t="s">
        <v>22</v>
      </c>
      <c r="D6" s="1">
        <v>1</v>
      </c>
      <c r="E6">
        <v>5</v>
      </c>
      <c r="F6">
        <v>8.99</v>
      </c>
      <c r="G6" t="s">
        <v>10</v>
      </c>
      <c r="H6" s="1">
        <f t="shared" si="1"/>
        <v>1</v>
      </c>
      <c r="I6">
        <f t="shared" si="2"/>
        <v>8.99</v>
      </c>
      <c r="J6" s="4">
        <v>0</v>
      </c>
      <c r="K6"/>
    </row>
    <row r="7" spans="1:11" x14ac:dyDescent="0.2">
      <c r="A7" s="7"/>
      <c r="B7" s="7"/>
      <c r="C7" s="7"/>
      <c r="D7" s="8"/>
      <c r="E7" s="7"/>
      <c r="F7" s="7"/>
      <c r="G7" s="7"/>
      <c r="H7" s="1" t="str">
        <f t="shared" si="1"/>
        <v/>
      </c>
      <c r="I7" t="str">
        <f t="shared" si="2"/>
        <v/>
      </c>
      <c r="J7" s="4"/>
    </row>
    <row r="8" spans="1:11" x14ac:dyDescent="0.2">
      <c r="A8" s="7"/>
      <c r="B8" s="7"/>
      <c r="C8" s="7"/>
      <c r="D8" s="8"/>
      <c r="E8" s="7"/>
      <c r="F8" s="7"/>
      <c r="G8" s="7"/>
      <c r="H8" s="1" t="str">
        <f t="shared" ref="H8" si="3">IF(D8&gt;0, ROUNDUP(D8/E8,0), "")</f>
        <v/>
      </c>
      <c r="I8" t="str">
        <f t="shared" ref="I8" si="4">IF(F8&gt;0, (F8*H8)*(100-J8)/100, "")</f>
        <v/>
      </c>
      <c r="J8" s="4"/>
    </row>
    <row r="9" spans="1:11" x14ac:dyDescent="0.2">
      <c r="H9" s="1" t="str">
        <f t="shared" ref="H9" si="5">IF(D9&gt;0, ROUNDUP(D9/E9,0), "")</f>
        <v/>
      </c>
      <c r="I9" t="str">
        <f t="shared" ref="I9" si="6">IF(F9&gt;0, (F9*H9)*(100-J9)/100, "")</f>
        <v/>
      </c>
      <c r="J9" s="4"/>
    </row>
    <row r="10" spans="1:11" x14ac:dyDescent="0.2">
      <c r="H10" s="1" t="str">
        <f t="shared" ref="H10:H17" si="7">IF(D10&gt;0, ROUNDUP(D10/E10,0), "")</f>
        <v/>
      </c>
      <c r="I10" t="str">
        <f t="shared" ref="I10:I17" si="8">IF(F10&gt;0, (F10*H10)*(100-J10)/100, "")</f>
        <v/>
      </c>
      <c r="J10" s="4"/>
    </row>
    <row r="11" spans="1:11" x14ac:dyDescent="0.2">
      <c r="G11" s="5"/>
      <c r="H11" s="1" t="str">
        <f t="shared" si="7"/>
        <v/>
      </c>
      <c r="I11" t="str">
        <f t="shared" si="8"/>
        <v/>
      </c>
      <c r="J11" s="4"/>
    </row>
    <row r="12" spans="1:11" x14ac:dyDescent="0.2">
      <c r="H12" s="1" t="str">
        <f t="shared" si="7"/>
        <v/>
      </c>
      <c r="I12" t="str">
        <f t="shared" si="8"/>
        <v/>
      </c>
      <c r="J12" s="4"/>
    </row>
    <row r="13" spans="1:11" x14ac:dyDescent="0.2">
      <c r="H13" s="1" t="str">
        <f t="shared" si="7"/>
        <v/>
      </c>
      <c r="I13" t="str">
        <f t="shared" si="8"/>
        <v/>
      </c>
      <c r="J13" s="4"/>
    </row>
    <row r="14" spans="1:11" x14ac:dyDescent="0.2">
      <c r="H14" s="1" t="str">
        <f t="shared" si="7"/>
        <v/>
      </c>
      <c r="I14" t="str">
        <f t="shared" si="8"/>
        <v/>
      </c>
      <c r="J14" s="4"/>
    </row>
    <row r="15" spans="1:11" x14ac:dyDescent="0.2">
      <c r="H15" s="1" t="str">
        <f t="shared" si="7"/>
        <v/>
      </c>
      <c r="I15" t="str">
        <f t="shared" si="8"/>
        <v/>
      </c>
      <c r="J15" s="4"/>
    </row>
    <row r="16" spans="1:11" x14ac:dyDescent="0.2">
      <c r="H16" s="1" t="str">
        <f t="shared" si="7"/>
        <v/>
      </c>
      <c r="I16" t="str">
        <f t="shared" si="8"/>
        <v/>
      </c>
      <c r="J16" s="4"/>
    </row>
    <row r="17" spans="8:10" x14ac:dyDescent="0.2">
      <c r="H17" s="1" t="str">
        <f t="shared" si="7"/>
        <v/>
      </c>
      <c r="I17" t="str">
        <f t="shared" si="8"/>
        <v/>
      </c>
      <c r="J1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45079679F9D45A67E0BCA0BF99BCF" ma:contentTypeVersion="12" ma:contentTypeDescription="Create a new document." ma:contentTypeScope="" ma:versionID="dfc0e12bc5d7943f4dbbc06e6cfd070e">
  <xsd:schema xmlns:xsd="http://www.w3.org/2001/XMLSchema" xmlns:xs="http://www.w3.org/2001/XMLSchema" xmlns:p="http://schemas.microsoft.com/office/2006/metadata/properties" xmlns:ns2="0ff12157-3d4f-4a1a-a06e-b5dc7f0e72fe" xmlns:ns3="08a63eaa-fc8d-4140-a1bc-db3f7a362941" targetNamespace="http://schemas.microsoft.com/office/2006/metadata/properties" ma:root="true" ma:fieldsID="d8b3359ef274edaf3ba295a2b32a96d6" ns2:_="" ns3:_="">
    <xsd:import namespace="0ff12157-3d4f-4a1a-a06e-b5dc7f0e72fe"/>
    <xsd:import namespace="08a63eaa-fc8d-4140-a1bc-db3f7a362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12157-3d4f-4a1a-a06e-b5dc7f0e72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327564-f39d-4280-9dc5-2765750d78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63eaa-fc8d-4140-a1bc-db3f7a362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430ef27-5e13-4a89-94ea-692402149b7d}" ma:internalName="TaxCatchAll" ma:showField="CatchAllData" ma:web="08a63eaa-fc8d-4140-a1bc-db3f7a362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a63eaa-fc8d-4140-a1bc-db3f7a362941" xsi:nil="true"/>
    <lcf76f155ced4ddcb4097134ff3c332f xmlns="0ff12157-3d4f-4a1a-a06e-b5dc7f0e72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C533DA-66E0-46BA-AD08-E9DEBED04D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f12157-3d4f-4a1a-a06e-b5dc7f0e72fe"/>
    <ds:schemaRef ds:uri="08a63eaa-fc8d-4140-a1bc-db3f7a362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EB8BE2-36EF-41AD-9545-A925D0CA46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109422-B541-4E3F-AD3A-053D2B4032EE}">
  <ds:schemaRefs>
    <ds:schemaRef ds:uri="http://schemas.microsoft.com/office/2006/metadata/properties"/>
    <ds:schemaRef ds:uri="http://schemas.microsoft.com/office/infopath/2007/PartnerControls"/>
    <ds:schemaRef ds:uri="08a63eaa-fc8d-4140-a1bc-db3f7a362941"/>
    <ds:schemaRef ds:uri="0ff12157-3d4f-4a1a-a06e-b5dc7f0e72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dylan.b.baldridge@gmail.com</dc:creator>
  <cp:keywords/>
  <dc:description/>
  <cp:lastModifiedBy>Dylan Baldridge</cp:lastModifiedBy>
  <cp:revision/>
  <dcterms:created xsi:type="dcterms:W3CDTF">2023-11-15T19:13:36Z</dcterms:created>
  <dcterms:modified xsi:type="dcterms:W3CDTF">2026-07-22T22:35:31Z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0x01010067345079679F9D45A67E0BCA0BF99BCF</vt:lpwstr>
  </property>
  <property fmtid="{D5CDD505-2E9C-101B-9397-08002B2CF9AE}" pid="3" name="MediaServiceImageTags">
    <vt:lpwstr/>
  </property>
</Properties>
</file>
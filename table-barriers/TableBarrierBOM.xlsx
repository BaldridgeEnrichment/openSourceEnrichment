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Downloads/"/>
    </mc:Choice>
  </mc:AlternateContent>
  <xr:revisionPtr revIDLastSave="0" documentId="8_{98A0508F-6E63-C343-B8C2-7FA12B22D6D5}" xr6:coauthVersionLast="47" xr6:coauthVersionMax="47" xr10:uidLastSave="{00000000-0000-0000-0000-000000000000}"/>
  <bookViews>
    <workbookView xWindow="0" yWindow="500" windowWidth="28800" windowHeight="16480" xr2:uid="{5963C852-DFD8-124F-8006-ABC91A3D99EA}"/>
  </bookViews>
  <sheets>
    <sheet name="Actu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J10" i="1" s="1"/>
  <c r="I11" i="1"/>
  <c r="J11" i="1" s="1"/>
  <c r="I12" i="1"/>
  <c r="J12" i="1"/>
  <c r="I13" i="1"/>
  <c r="J13" i="1"/>
  <c r="I14" i="1"/>
  <c r="J14" i="1"/>
  <c r="I15" i="1"/>
  <c r="J15" i="1"/>
  <c r="I16" i="1"/>
  <c r="J16" i="1"/>
  <c r="I17" i="1"/>
  <c r="J17" i="1"/>
  <c r="I9" i="1"/>
  <c r="J9" i="1" s="1"/>
  <c r="I8" i="1" l="1"/>
  <c r="J8" i="1" s="1"/>
  <c r="I3" i="1"/>
  <c r="J3" i="1" s="1"/>
  <c r="I4" i="1"/>
  <c r="J4" i="1"/>
  <c r="I5" i="1"/>
  <c r="J5" i="1"/>
  <c r="I6" i="1"/>
  <c r="J6" i="1" s="1"/>
  <c r="I7" i="1"/>
  <c r="J7" i="1" s="1"/>
  <c r="I2" i="1"/>
  <c r="J2" i="1" s="1"/>
  <c r="L2" i="1" l="1"/>
</calcChain>
</file>

<file path=xl/sharedStrings.xml><?xml version="1.0" encoding="utf-8"?>
<sst xmlns="http://schemas.openxmlformats.org/spreadsheetml/2006/main" count="62" uniqueCount="35">
  <si>
    <t>Class</t>
  </si>
  <si>
    <t>Designator</t>
  </si>
  <si>
    <t>Item</t>
  </si>
  <si>
    <t>Number Per Unit</t>
  </si>
  <si>
    <t>Priece Per Unit</t>
  </si>
  <si>
    <t>Supplier</t>
  </si>
  <si>
    <t>Units Needed</t>
  </si>
  <si>
    <t>Total Cost</t>
  </si>
  <si>
    <t>Discounts</t>
  </si>
  <si>
    <t>Final Cost</t>
  </si>
  <si>
    <t>Material</t>
  </si>
  <si>
    <t>PLA Filament</t>
  </si>
  <si>
    <t>HATCHBOX 1.75mm Brown PLA 3D Printer Filament, 1 KG Spool, Dimensional Accuracy +/- 0.03 mm, 3D Printing Filament</t>
  </si>
  <si>
    <t>Amazon</t>
  </si>
  <si>
    <t>Acrylic</t>
  </si>
  <si>
    <t>Home Depot</t>
  </si>
  <si>
    <t>Materials</t>
  </si>
  <si>
    <t>Lock Nuts</t>
  </si>
  <si>
    <t>Lock NUT SS 1/4-20 15PC</t>
  </si>
  <si>
    <t>Plastidip</t>
  </si>
  <si>
    <t>14.5 oz. Black Plastic Dip</t>
  </si>
  <si>
    <t>Status</t>
  </si>
  <si>
    <t>Number Used</t>
  </si>
  <si>
    <t>Purchased</t>
  </si>
  <si>
    <t>24"X36" .177" CLR ACRYLIC GRN EDGE</t>
  </si>
  <si>
    <t>Eye Bolt</t>
  </si>
  <si>
    <t>EYE BOLT/NUT ZINC 1/4 X $ 1SET</t>
  </si>
  <si>
    <t>Machine Screws</t>
  </si>
  <si>
    <t>MCH SCRW SS PHL FLT #8 X1/2</t>
  </si>
  <si>
    <t>EYE BOLT/NUT ZINC 1/4 X 4 1SET</t>
  </si>
  <si>
    <t>Scavanged</t>
  </si>
  <si>
    <t>M4 Bolt</t>
  </si>
  <si>
    <t>M4X30 ZN HEX BOLT 2PC (7G)</t>
  </si>
  <si>
    <t>M4 Nut</t>
  </si>
  <si>
    <t>M4 SS HEX NUT 2PC (42B)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</si>
</sst>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2" fillId="0" borderId="0" xfId="0" applyFont="1"/>
    <xf numFmtId="0" fontId="0" fillId="0" borderId="0" xfId="1" applyFont="1" applyFill="1" applyBorder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3A0B-B9E9-5C49-B31E-7C5B1A197573}">
  <dimension ref="A1:L17"/>
  <sheetViews>
    <sheetView tabSelected="1" workbookViewId="0">
      <selection activeCell="C9" sqref="C9"/>
    </sheetView>
  </sheetViews>
  <sheetFormatPr baseColWidth="10" defaultColWidth="11" defaultRowHeight="16" x14ac:dyDescent="0.2"/>
  <cols>
    <col min="2" max="3" width="18.83203125" customWidth="1"/>
    <col min="4" max="4" width="13.6640625" customWidth="1"/>
    <col min="5" max="5" width="13.6640625" style="1" customWidth="1"/>
    <col min="6" max="8" width="13.6640625" customWidth="1"/>
    <col min="9" max="9" width="12.6640625" style="1" customWidth="1"/>
    <col min="10" max="11" width="9.1640625" customWidth="1"/>
    <col min="12" max="12" width="10.83203125" style="1"/>
  </cols>
  <sheetData>
    <row r="1" spans="1:12" s="2" customFormat="1" x14ac:dyDescent="0.2">
      <c r="A1" s="2" t="s">
        <v>21</v>
      </c>
      <c r="B1" s="2" t="s">
        <v>0</v>
      </c>
      <c r="C1" s="2" t="s">
        <v>1</v>
      </c>
      <c r="D1" s="2" t="s">
        <v>2</v>
      </c>
      <c r="E1" s="3" t="s">
        <v>22</v>
      </c>
      <c r="F1" s="2" t="s">
        <v>3</v>
      </c>
      <c r="G1" s="2" t="s">
        <v>4</v>
      </c>
      <c r="H1" s="2" t="s">
        <v>5</v>
      </c>
      <c r="I1" s="3" t="s">
        <v>6</v>
      </c>
      <c r="J1" s="2" t="s">
        <v>7</v>
      </c>
      <c r="K1" s="2" t="s">
        <v>8</v>
      </c>
      <c r="L1" s="3" t="s">
        <v>9</v>
      </c>
    </row>
    <row r="2" spans="1:12" x14ac:dyDescent="0.2">
      <c r="A2" s="5" t="s">
        <v>23</v>
      </c>
      <c r="B2" t="s">
        <v>16</v>
      </c>
      <c r="C2" t="s">
        <v>14</v>
      </c>
      <c r="D2" t="s">
        <v>24</v>
      </c>
      <c r="E2" s="1">
        <v>1</v>
      </c>
      <c r="F2">
        <v>1</v>
      </c>
      <c r="G2">
        <v>49.98</v>
      </c>
      <c r="H2" t="s">
        <v>15</v>
      </c>
      <c r="I2" s="1">
        <f>IF(E2&gt;0, ROUNDUP(E2/F2,0), "")</f>
        <v>1</v>
      </c>
      <c r="J2">
        <f t="shared" ref="J2" si="0">IF(G2&gt;0, (G2*I2)*(100-K2)/100, "")</f>
        <v>49.98</v>
      </c>
      <c r="K2" s="4">
        <v>0</v>
      </c>
      <c r="L2" s="7">
        <f>SUM(J2:J26)</f>
        <v>146.44</v>
      </c>
    </row>
    <row r="3" spans="1:12" x14ac:dyDescent="0.2">
      <c r="A3" s="5" t="s">
        <v>23</v>
      </c>
      <c r="B3" t="s">
        <v>16</v>
      </c>
      <c r="C3" t="s">
        <v>25</v>
      </c>
      <c r="D3" t="s">
        <v>26</v>
      </c>
      <c r="E3" s="1">
        <v>2</v>
      </c>
      <c r="F3">
        <v>1</v>
      </c>
      <c r="G3">
        <v>0.97</v>
      </c>
      <c r="H3" t="s">
        <v>15</v>
      </c>
      <c r="I3" s="1">
        <f t="shared" ref="I3:I7" si="1">IF(E3&gt;0, ROUNDUP(E3/F3,0), "")</f>
        <v>2</v>
      </c>
      <c r="J3">
        <f t="shared" ref="J3:J7" si="2">IF(G3&gt;0, (G3*I3)*(100-K3)/100, "")</f>
        <v>1.94</v>
      </c>
      <c r="K3" s="4">
        <v>0</v>
      </c>
      <c r="L3"/>
    </row>
    <row r="4" spans="1:12" x14ac:dyDescent="0.2">
      <c r="A4" s="5" t="s">
        <v>23</v>
      </c>
      <c r="B4" t="s">
        <v>16</v>
      </c>
      <c r="C4" t="s">
        <v>27</v>
      </c>
      <c r="D4" t="s">
        <v>28</v>
      </c>
      <c r="E4" s="1">
        <v>6</v>
      </c>
      <c r="F4">
        <v>6</v>
      </c>
      <c r="G4">
        <v>1.47</v>
      </c>
      <c r="H4" t="s">
        <v>15</v>
      </c>
      <c r="I4" s="1">
        <f t="shared" si="1"/>
        <v>1</v>
      </c>
      <c r="J4">
        <f t="shared" si="2"/>
        <v>1.47</v>
      </c>
      <c r="K4" s="4">
        <v>0</v>
      </c>
      <c r="L4"/>
    </row>
    <row r="5" spans="1:12" x14ac:dyDescent="0.2">
      <c r="A5" s="5" t="s">
        <v>23</v>
      </c>
      <c r="B5" t="s">
        <v>16</v>
      </c>
      <c r="C5" t="s">
        <v>27</v>
      </c>
      <c r="D5" t="s">
        <v>28</v>
      </c>
      <c r="E5" s="1">
        <v>34</v>
      </c>
      <c r="F5">
        <v>6</v>
      </c>
      <c r="G5">
        <v>1.47</v>
      </c>
      <c r="H5" t="s">
        <v>15</v>
      </c>
      <c r="I5" s="1">
        <f t="shared" si="1"/>
        <v>6</v>
      </c>
      <c r="J5">
        <f t="shared" si="2"/>
        <v>8.82</v>
      </c>
      <c r="K5" s="4">
        <v>0</v>
      </c>
      <c r="L5"/>
    </row>
    <row r="6" spans="1:12" x14ac:dyDescent="0.2">
      <c r="A6" s="5" t="s">
        <v>23</v>
      </c>
      <c r="B6" t="s">
        <v>16</v>
      </c>
      <c r="C6" t="s">
        <v>25</v>
      </c>
      <c r="D6" t="s">
        <v>29</v>
      </c>
      <c r="E6" s="1">
        <v>6</v>
      </c>
      <c r="F6">
        <v>1</v>
      </c>
      <c r="G6">
        <v>0.97</v>
      </c>
      <c r="H6" t="s">
        <v>15</v>
      </c>
      <c r="I6" s="1">
        <f t="shared" si="1"/>
        <v>6</v>
      </c>
      <c r="J6">
        <f t="shared" si="2"/>
        <v>5.82</v>
      </c>
      <c r="K6" s="4">
        <v>0</v>
      </c>
      <c r="L6"/>
    </row>
    <row r="7" spans="1:12" x14ac:dyDescent="0.2">
      <c r="A7" s="5" t="s">
        <v>30</v>
      </c>
      <c r="B7" t="s">
        <v>16</v>
      </c>
      <c r="C7" t="s">
        <v>31</v>
      </c>
      <c r="D7" t="s">
        <v>32</v>
      </c>
      <c r="E7" s="1">
        <v>6</v>
      </c>
      <c r="F7">
        <v>2</v>
      </c>
      <c r="G7">
        <v>1.25</v>
      </c>
      <c r="H7" t="s">
        <v>15</v>
      </c>
      <c r="I7" s="1">
        <f t="shared" si="1"/>
        <v>3</v>
      </c>
      <c r="J7">
        <f t="shared" si="2"/>
        <v>3.75</v>
      </c>
      <c r="K7" s="4">
        <v>0</v>
      </c>
    </row>
    <row r="8" spans="1:12" x14ac:dyDescent="0.2">
      <c r="A8" s="5" t="s">
        <v>30</v>
      </c>
      <c r="B8" t="s">
        <v>16</v>
      </c>
      <c r="C8" t="s">
        <v>33</v>
      </c>
      <c r="D8" t="s">
        <v>34</v>
      </c>
      <c r="E8" s="1">
        <v>6</v>
      </c>
      <c r="F8">
        <v>2</v>
      </c>
      <c r="G8">
        <v>1.25</v>
      </c>
      <c r="H8" t="s">
        <v>15</v>
      </c>
      <c r="I8" s="1">
        <f t="shared" ref="I8" si="3">IF(E8&gt;0, ROUNDUP(E8/F8,0), "")</f>
        <v>3</v>
      </c>
      <c r="J8">
        <f t="shared" ref="J8" si="4">IF(G8&gt;0, (G8*I8)*(100-K8)/100, "")</f>
        <v>3.75</v>
      </c>
      <c r="K8" s="4">
        <v>0</v>
      </c>
    </row>
    <row r="9" spans="1:12" x14ac:dyDescent="0.2">
      <c r="A9" s="5" t="s">
        <v>23</v>
      </c>
      <c r="B9" t="s">
        <v>10</v>
      </c>
      <c r="C9" t="s">
        <v>11</v>
      </c>
      <c r="D9" t="s">
        <v>12</v>
      </c>
      <c r="E9" s="1">
        <v>2</v>
      </c>
      <c r="F9">
        <v>2</v>
      </c>
      <c r="G9">
        <v>49.99</v>
      </c>
      <c r="H9" t="s">
        <v>13</v>
      </c>
      <c r="I9" s="1">
        <f t="shared" ref="I9" si="5">IF(E9&gt;0, ROUNDUP(E9/F9,0), "")</f>
        <v>1</v>
      </c>
      <c r="J9">
        <f t="shared" ref="J9" si="6">IF(G9&gt;0, (G9*I9)*(100-K9)/100, "")</f>
        <v>49.99</v>
      </c>
      <c r="K9" s="4">
        <v>0</v>
      </c>
    </row>
    <row r="10" spans="1:12" x14ac:dyDescent="0.2">
      <c r="A10" s="5" t="s">
        <v>30</v>
      </c>
      <c r="B10" t="s">
        <v>16</v>
      </c>
      <c r="C10" t="s">
        <v>17</v>
      </c>
      <c r="D10" t="s">
        <v>18</v>
      </c>
      <c r="E10" s="1">
        <v>16</v>
      </c>
      <c r="F10">
        <v>15</v>
      </c>
      <c r="G10">
        <v>4.97</v>
      </c>
      <c r="H10" t="s">
        <v>15</v>
      </c>
      <c r="I10" s="1">
        <f t="shared" ref="I10:I17" si="7">IF(E10&gt;0, ROUNDUP(E10/F10,0), "")</f>
        <v>2</v>
      </c>
      <c r="J10">
        <f t="shared" ref="J10:J17" si="8">IF(G10&gt;0, (G10*I10)*(100-K10)/100, "")</f>
        <v>9.94</v>
      </c>
      <c r="K10" s="4">
        <v>0</v>
      </c>
    </row>
    <row r="11" spans="1:12" x14ac:dyDescent="0.2">
      <c r="A11" s="5" t="s">
        <v>23</v>
      </c>
      <c r="B11" t="s">
        <v>10</v>
      </c>
      <c r="C11" t="s">
        <v>19</v>
      </c>
      <c r="D11" t="s">
        <v>20</v>
      </c>
      <c r="E11" s="1">
        <v>1</v>
      </c>
      <c r="F11">
        <v>1</v>
      </c>
      <c r="G11">
        <v>10.98</v>
      </c>
      <c r="H11" s="6" t="s">
        <v>15</v>
      </c>
      <c r="I11" s="1">
        <f t="shared" si="7"/>
        <v>1</v>
      </c>
      <c r="J11">
        <f t="shared" si="8"/>
        <v>10.98</v>
      </c>
      <c r="K11" s="4">
        <v>0</v>
      </c>
    </row>
    <row r="12" spans="1:12" x14ac:dyDescent="0.2">
      <c r="I12" s="1" t="str">
        <f t="shared" si="7"/>
        <v/>
      </c>
      <c r="J12" t="str">
        <f t="shared" si="8"/>
        <v/>
      </c>
      <c r="K12" s="4"/>
    </row>
    <row r="13" spans="1:12" x14ac:dyDescent="0.2">
      <c r="I13" s="1" t="str">
        <f t="shared" si="7"/>
        <v/>
      </c>
      <c r="J13" t="str">
        <f t="shared" si="8"/>
        <v/>
      </c>
      <c r="K13" s="4"/>
    </row>
    <row r="14" spans="1:12" x14ac:dyDescent="0.2">
      <c r="I14" s="1" t="str">
        <f t="shared" si="7"/>
        <v/>
      </c>
      <c r="J14" t="str">
        <f t="shared" si="8"/>
        <v/>
      </c>
      <c r="K14" s="4"/>
    </row>
    <row r="15" spans="1:12" x14ac:dyDescent="0.2">
      <c r="I15" s="1" t="str">
        <f t="shared" si="7"/>
        <v/>
      </c>
      <c r="J15" t="str">
        <f t="shared" si="8"/>
        <v/>
      </c>
      <c r="K15" s="4"/>
    </row>
    <row r="16" spans="1:12" x14ac:dyDescent="0.2">
      <c r="I16" s="1" t="str">
        <f t="shared" si="7"/>
        <v/>
      </c>
      <c r="J16" t="str">
        <f t="shared" si="8"/>
        <v/>
      </c>
      <c r="K16" s="4"/>
    </row>
    <row r="17" spans="9:11" x14ac:dyDescent="0.2">
      <c r="I17" s="1" t="str">
        <f t="shared" si="7"/>
        <v/>
      </c>
      <c r="J17" t="str">
        <f t="shared" si="8"/>
        <v/>
      </c>
      <c r="K1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45079679F9D45A67E0BCA0BF99BCF" ma:contentTypeVersion="13" ma:contentTypeDescription="Create a new document." ma:contentTypeScope="" ma:versionID="82b32423ae73949c451adcb44bcbb726">
  <xsd:schema xmlns:xsd="http://www.w3.org/2001/XMLSchema" xmlns:xs="http://www.w3.org/2001/XMLSchema" xmlns:p="http://schemas.microsoft.com/office/2006/metadata/properties" xmlns:ns2="0ff12157-3d4f-4a1a-a06e-b5dc7f0e72fe" xmlns:ns3="08a63eaa-fc8d-4140-a1bc-db3f7a362941" targetNamespace="http://schemas.microsoft.com/office/2006/metadata/properties" ma:root="true" ma:fieldsID="ab33177486aa51303ec5119701400e8a" ns2:_="" ns3:_="">
    <xsd:import namespace="0ff12157-3d4f-4a1a-a06e-b5dc7f0e72fe"/>
    <xsd:import namespace="08a63eaa-fc8d-4140-a1bc-db3f7a362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12157-3d4f-4a1a-a06e-b5dc7f0e72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327564-f39d-4280-9dc5-2765750d78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63eaa-fc8d-4140-a1bc-db3f7a362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430ef27-5e13-4a89-94ea-692402149b7d}" ma:internalName="TaxCatchAll" ma:showField="CatchAllData" ma:web="08a63eaa-fc8d-4140-a1bc-db3f7a362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a63eaa-fc8d-4140-a1bc-db3f7a362941" xsi:nil="true"/>
    <lcf76f155ced4ddcb4097134ff3c332f xmlns="0ff12157-3d4f-4a1a-a06e-b5dc7f0e72f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C357D6-B028-4BA9-B967-51AADC0549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f12157-3d4f-4a1a-a06e-b5dc7f0e72fe"/>
    <ds:schemaRef ds:uri="08a63eaa-fc8d-4140-a1bc-db3f7a362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61C450-C957-49FB-9D45-10D8E8D69CCB}">
  <ds:schemaRefs>
    <ds:schemaRef ds:uri="http://schemas.microsoft.com/office/2006/metadata/properties"/>
    <ds:schemaRef ds:uri="http://schemas.microsoft.com/office/infopath/2007/PartnerControls"/>
    <ds:schemaRef ds:uri="08a63eaa-fc8d-4140-a1bc-db3f7a362941"/>
    <ds:schemaRef ds:uri="0ff12157-3d4f-4a1a-a06e-b5dc7f0e72fe"/>
  </ds:schemaRefs>
</ds:datastoreItem>
</file>

<file path=customXml/itemProps3.xml><?xml version="1.0" encoding="utf-8"?>
<ds:datastoreItem xmlns:ds="http://schemas.openxmlformats.org/officeDocument/2006/customXml" ds:itemID="{4848D03D-F6FA-4C7E-A608-667E16824A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dylan.b.baldridge@gmail.com</dc:creator>
  <cp:keywords/>
  <dc:description/>
  <cp:lastModifiedBy>Dylan Baldridge</cp:lastModifiedBy>
  <cp:revision/>
  <dcterms:created xsi:type="dcterms:W3CDTF">2023-11-15T19:13:36Z</dcterms:created>
  <dcterms:modified xsi:type="dcterms:W3CDTF">2026-05-22T18:47:48Z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0x01010067345079679F9D45A67E0BCA0BF99BCF</vt:lpwstr>
  </property>
</Properties>
</file>
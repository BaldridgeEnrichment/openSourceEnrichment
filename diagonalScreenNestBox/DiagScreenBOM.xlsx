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Downloads/"/>
    </mc:Choice>
  </mc:AlternateContent>
  <xr:revisionPtr revIDLastSave="0" documentId="13_ncr:1_{9BC50F98-02EA-534D-94B8-B2B9B77FF517}" xr6:coauthVersionLast="47" xr6:coauthVersionMax="47" xr10:uidLastSave="{00000000-0000-0000-0000-000000000000}"/>
  <bookViews>
    <workbookView xWindow="0" yWindow="500" windowWidth="28800" windowHeight="16480" xr2:uid="{5963C852-DFD8-124F-8006-ABC91A3D99EA}"/>
  </bookViews>
  <sheets>
    <sheet name="Proposa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I7" i="2"/>
  <c r="H7" i="2"/>
  <c r="I6" i="2"/>
  <c r="H6" i="2"/>
  <c r="H3" i="2"/>
  <c r="I3" i="2"/>
  <c r="H4" i="2"/>
  <c r="I4" i="2" s="1"/>
  <c r="H5" i="2"/>
  <c r="I5" i="2"/>
  <c r="H2" i="2" l="1"/>
  <c r="I2" i="2" s="1"/>
</calcChain>
</file>

<file path=xl/sharedStrings.xml><?xml version="1.0" encoding="utf-8"?>
<sst xmlns="http://schemas.openxmlformats.org/spreadsheetml/2006/main" count="30" uniqueCount="26">
  <si>
    <t>Class</t>
  </si>
  <si>
    <t>Designator</t>
  </si>
  <si>
    <t>Item</t>
  </si>
  <si>
    <t>Number Needed</t>
  </si>
  <si>
    <t>Number Per Unit</t>
  </si>
  <si>
    <t>Priece Per Unit</t>
  </si>
  <si>
    <t>Supplier</t>
  </si>
  <si>
    <t>Units Needed</t>
  </si>
  <si>
    <t>Total Cost</t>
  </si>
  <si>
    <t>Discounts</t>
  </si>
  <si>
    <t>Final Cost</t>
  </si>
  <si>
    <t>Materials</t>
  </si>
  <si>
    <t>Plywood</t>
  </si>
  <si>
    <t>23/32 in. x 4 ft. x 8 ft Cabinet Grade Plywood Panel (Actual: 0.688 in. x 48 in. x 96 in.)</t>
  </si>
  <si>
    <t>Home Depot</t>
  </si>
  <si>
    <t>1/4 in.-20 x 2 in. Stainless Steel Hex Bolt (5-Pack)</t>
  </si>
  <si>
    <t>Bolts</t>
  </si>
  <si>
    <t>Nuts</t>
  </si>
  <si>
    <t>1/4 in. x 1-1/4 in. Stainless Fender Washer (20-Pack)</t>
  </si>
  <si>
    <t>Washer</t>
  </si>
  <si>
    <t>1/4"-20 Stainless Steel Nylon Insert Stop Nut (15-Pack)</t>
  </si>
  <si>
    <t>HDPE</t>
  </si>
  <si>
    <t>High-Density Polyethylene (HDPE) Plastic Sheet 1/2" Thick 18" X 24"- Black HDPE Sheet,for Machining, Home Improvements, DIY Projects, Engineering,High-Density Polyethylene Plastic Block (Pack of 1)</t>
  </si>
  <si>
    <t>Amazon</t>
  </si>
  <si>
    <t>Screws</t>
  </si>
  <si>
    <t>#9 in. x 1-1/2 in. Dual Drive Washer Head Structural Screws 1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</si>
</sst>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2" fontId="0" fillId="0" borderId="0" xfId="0" applyNumberFormat="1"/>
    <xf numFmtId="0" fontId="1" fillId="0" borderId="0" xfId="0" applyFon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F338-76AA-5840-AE70-2F6AAD8D3895}">
  <dimension ref="A1:M7"/>
  <sheetViews>
    <sheetView tabSelected="1" workbookViewId="0">
      <selection activeCell="L12" sqref="L12"/>
    </sheetView>
  </sheetViews>
  <sheetFormatPr baseColWidth="10" defaultColWidth="10.83203125" defaultRowHeight="16" x14ac:dyDescent="0.2"/>
  <cols>
    <col min="1" max="1" width="18.83203125" customWidth="1"/>
    <col min="2" max="2" width="12" bestFit="1" customWidth="1"/>
    <col min="3" max="3" width="51" bestFit="1" customWidth="1"/>
    <col min="4" max="4" width="14.5" style="1" customWidth="1"/>
    <col min="5" max="5" width="14.83203125" customWidth="1"/>
    <col min="6" max="7" width="13.6640625" customWidth="1"/>
    <col min="8" max="8" width="12.6640625" style="1" customWidth="1"/>
    <col min="9" max="10" width="9.1640625" customWidth="1"/>
    <col min="11" max="11" width="10.83203125" style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</row>
    <row r="2" spans="1:13" x14ac:dyDescent="0.2">
      <c r="A2" t="s">
        <v>11</v>
      </c>
      <c r="B2" t="s">
        <v>12</v>
      </c>
      <c r="C2" t="s">
        <v>13</v>
      </c>
      <c r="D2" s="1">
        <v>1</v>
      </c>
      <c r="E2">
        <v>1</v>
      </c>
      <c r="F2">
        <v>49.88</v>
      </c>
      <c r="G2" t="s">
        <v>14</v>
      </c>
      <c r="H2" s="1">
        <f>IF(D2&gt;0, ROUNDUP(D2/E2,0), "")</f>
        <v>1</v>
      </c>
      <c r="I2">
        <f t="shared" ref="I2" si="0">IF(F2&gt;0, (F2*H2)*(100-J2)/100, "")</f>
        <v>49.88</v>
      </c>
      <c r="K2" s="6">
        <f>IF(D2&gt;0,SUM(I2:I7),"")</f>
        <v>129.58000000000001</v>
      </c>
      <c r="L2" s="4"/>
      <c r="M2" s="4"/>
    </row>
    <row r="3" spans="1:13" x14ac:dyDescent="0.2">
      <c r="B3" t="s">
        <v>16</v>
      </c>
      <c r="C3" t="s">
        <v>15</v>
      </c>
      <c r="D3" s="1">
        <v>8</v>
      </c>
      <c r="E3">
        <v>5</v>
      </c>
      <c r="F3" s="5">
        <v>4.96</v>
      </c>
      <c r="G3" t="s">
        <v>14</v>
      </c>
      <c r="H3" s="1">
        <f t="shared" ref="H3:H4" si="1">IF(D3&gt;0, ROUNDUP(D3/E3,0), "")</f>
        <v>2</v>
      </c>
      <c r="I3">
        <f t="shared" ref="I3:I4" si="2">IF(F3&gt;0, (F3*H3)*(100-J3)/100, "")</f>
        <v>9.92</v>
      </c>
    </row>
    <row r="4" spans="1:13" x14ac:dyDescent="0.2">
      <c r="B4" t="s">
        <v>17</v>
      </c>
      <c r="C4" t="s">
        <v>20</v>
      </c>
      <c r="D4" s="1">
        <v>8</v>
      </c>
      <c r="E4">
        <v>15</v>
      </c>
      <c r="F4">
        <v>4.74</v>
      </c>
      <c r="G4" t="s">
        <v>14</v>
      </c>
      <c r="H4" s="1">
        <f t="shared" si="1"/>
        <v>1</v>
      </c>
      <c r="I4">
        <f t="shared" si="2"/>
        <v>4.74</v>
      </c>
    </row>
    <row r="5" spans="1:13" x14ac:dyDescent="0.2">
      <c r="B5" t="s">
        <v>19</v>
      </c>
      <c r="C5" t="s">
        <v>18</v>
      </c>
      <c r="D5" s="1">
        <v>16</v>
      </c>
      <c r="E5">
        <v>20</v>
      </c>
      <c r="F5">
        <v>5.97</v>
      </c>
      <c r="G5" t="s">
        <v>14</v>
      </c>
      <c r="H5" s="1">
        <f t="shared" ref="H5:H7" si="3">IF(D5&gt;0, ROUNDUP(D5/E5,0), "")</f>
        <v>1</v>
      </c>
      <c r="I5">
        <f t="shared" ref="I5:I7" si="4">IF(F5&gt;0, (F5*H5)*(100-J5)/100, "")</f>
        <v>5.97</v>
      </c>
    </row>
    <row r="6" spans="1:13" x14ac:dyDescent="0.2">
      <c r="B6" t="s">
        <v>21</v>
      </c>
      <c r="C6" t="s">
        <v>22</v>
      </c>
      <c r="D6" s="1">
        <v>1</v>
      </c>
      <c r="E6">
        <v>1</v>
      </c>
      <c r="F6">
        <v>42.99</v>
      </c>
      <c r="G6" t="s">
        <v>23</v>
      </c>
      <c r="H6" s="1">
        <f t="shared" si="3"/>
        <v>1</v>
      </c>
      <c r="I6">
        <f t="shared" si="4"/>
        <v>42.99</v>
      </c>
    </row>
    <row r="7" spans="1:13" x14ac:dyDescent="0.2">
      <c r="B7" t="s">
        <v>24</v>
      </c>
      <c r="C7" t="s">
        <v>25</v>
      </c>
      <c r="D7" s="1">
        <v>24</v>
      </c>
      <c r="E7">
        <v>1</v>
      </c>
      <c r="F7">
        <v>0.67</v>
      </c>
      <c r="G7" t="s">
        <v>14</v>
      </c>
      <c r="H7" s="1">
        <f t="shared" si="3"/>
        <v>24</v>
      </c>
      <c r="I7">
        <f t="shared" si="4"/>
        <v>16.080000000000002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63eaa-fc8d-4140-a1bc-db3f7a362941" xsi:nil="true"/>
    <lcf76f155ced4ddcb4097134ff3c332f xmlns="0ff12157-3d4f-4a1a-a06e-b5dc7f0e72f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45079679F9D45A67E0BCA0BF99BCF" ma:contentTypeVersion="13" ma:contentTypeDescription="Create a new document." ma:contentTypeScope="" ma:versionID="82b32423ae73949c451adcb44bcbb726">
  <xsd:schema xmlns:xsd="http://www.w3.org/2001/XMLSchema" xmlns:xs="http://www.w3.org/2001/XMLSchema" xmlns:p="http://schemas.microsoft.com/office/2006/metadata/properties" xmlns:ns2="0ff12157-3d4f-4a1a-a06e-b5dc7f0e72fe" xmlns:ns3="08a63eaa-fc8d-4140-a1bc-db3f7a362941" targetNamespace="http://schemas.microsoft.com/office/2006/metadata/properties" ma:root="true" ma:fieldsID="ab33177486aa51303ec5119701400e8a" ns2:_="" ns3:_="">
    <xsd:import namespace="0ff12157-3d4f-4a1a-a06e-b5dc7f0e72fe"/>
    <xsd:import namespace="08a63eaa-fc8d-4140-a1bc-db3f7a362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2157-3d4f-4a1a-a06e-b5dc7f0e72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327564-f39d-4280-9dc5-2765750d7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63eaa-fc8d-4140-a1bc-db3f7a362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430ef27-5e13-4a89-94ea-692402149b7d}" ma:internalName="TaxCatchAll" ma:showField="CatchAllData" ma:web="08a63eaa-fc8d-4140-a1bc-db3f7a362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542044-D64C-4CD7-91FC-3B0A14AE1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4F4145-A19D-407D-A72D-35069771CFA5}">
  <ds:schemaRefs>
    <ds:schemaRef ds:uri="http://schemas.microsoft.com/office/2006/metadata/properties"/>
    <ds:schemaRef ds:uri="http://schemas.microsoft.com/office/infopath/2007/PartnerControls"/>
    <ds:schemaRef ds:uri="08a63eaa-fc8d-4140-a1bc-db3f7a362941"/>
    <ds:schemaRef ds:uri="0ff12157-3d4f-4a1a-a06e-b5dc7f0e72fe"/>
  </ds:schemaRefs>
</ds:datastoreItem>
</file>

<file path=customXml/itemProps3.xml><?xml version="1.0" encoding="utf-8"?>
<ds:datastoreItem xmlns:ds="http://schemas.openxmlformats.org/officeDocument/2006/customXml" ds:itemID="{FBC41889-180C-40C8-947E-386B46DC6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f12157-3d4f-4a1a-a06e-b5dc7f0e72fe"/>
    <ds:schemaRef ds:uri="08a63eaa-fc8d-4140-a1bc-db3f7a362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dylan.b.baldridge@gmail.com</dc:creator>
  <cp:keywords/>
  <dc:description/>
  <cp:lastModifiedBy>Dylan Baldridge</cp:lastModifiedBy>
  <cp:revision/>
  <dcterms:created xsi:type="dcterms:W3CDTF">2023-11-15T19:13:36Z</dcterms:created>
  <dcterms:modified xsi:type="dcterms:W3CDTF">2026-06-05T16:35:36Z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0x01010067345079679F9D45A67E0BCA0BF99BCF</vt:lpwstr>
  </property>
  <property fmtid="{D5CDD505-2E9C-101B-9397-08002B2CF9AE}" pid="3" name="MediaServiceImageTags">
    <vt:lpwstr/>
  </property>
</Properties>
</file>